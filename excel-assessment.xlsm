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HWINI\Documents\GitHub\MapUp-Data-Assessment-F\"/>
    </mc:Choice>
  </mc:AlternateContent>
  <xr:revisionPtr revIDLastSave="0" documentId="13_ncr:1_{BDA1E6E8-2D23-4BA9-A213-343DD3AAB73C}" xr6:coauthVersionLast="47" xr6:coauthVersionMax="47" xr10:uidLastSave="{00000000-0000-0000-0000-000000000000}"/>
  <bookViews>
    <workbookView xWindow="1416" yWindow="1128" windowWidth="21624" windowHeight="11112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6" i="18" l="1"/>
  <c r="C23" i="20"/>
  <c r="C2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E16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5" i="15"/>
</calcChain>
</file>

<file path=xl/sharedStrings.xml><?xml version="1.0" encoding="utf-8"?>
<sst xmlns="http://schemas.openxmlformats.org/spreadsheetml/2006/main" count="335" uniqueCount="190">
  <si>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</si>
  <si>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</si>
  <si>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</si>
  <si>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</si>
  <si>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</si>
  <si>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</si>
  <si>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</si>
  <si>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</si>
  <si>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</si>
  <si>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</si>
  <si>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</si>
  <si>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</si>
  <si>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</si>
  <si>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</si>
  <si>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</si>
  <si>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</si>
  <si>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</si>
  <si>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</si>
  <si>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</si>
  <si>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</si>
  <si>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</si>
  <si>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</si>
  <si>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</si>
  <si>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</si>
  <si>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</si>
  <si>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</si>
  <si>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</si>
  <si>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</si>
  <si>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</si>
  <si>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</si>
  <si>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</si>
  <si>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</si>
  <si>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</si>
  <si>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</si>
  <si>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</si>
  <si>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</si>
  <si>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</si>
  <si>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</si>
  <si>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</si>
  <si>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</si>
  <si>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</si>
  <si>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</si>
  <si>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</si>
  <si>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</si>
  <si>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</si>
  <si>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</si>
  <si>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</si>
  <si>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</si>
  <si>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</si>
  <si>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</si>
  <si>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</si>
  <si>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</si>
  <si>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</si>
  <si>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</si>
  <si>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</si>
  <si>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</si>
  <si>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</si>
  <si>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</si>
  <si>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</si>
  <si>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</si>
  <si>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</si>
  <si>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</si>
  <si>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</si>
  <si>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</si>
  <si>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</si>
  <si>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</si>
  <si>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</si>
  <si>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</si>
  <si>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</si>
  <si>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</si>
  <si>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</si>
  <si>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</si>
  <si>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</si>
  <si>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</si>
  <si>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</si>
  <si>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</si>
  <si>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</si>
  <si>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</si>
  <si>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</si>
  <si>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</si>
  <si>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</si>
  <si>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</si>
  <si>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</si>
  <si>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</si>
  <si>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</si>
  <si>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</si>
  <si>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</si>
  <si>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</si>
  <si>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</si>
  <si>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</si>
  <si>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</si>
  <si>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</si>
  <si>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</si>
  <si>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</si>
  <si>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</si>
  <si>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</si>
  <si>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</si>
  <si>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</si>
  <si>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</si>
  <si>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</si>
  <si>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</si>
  <si>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</si>
  <si>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</si>
  <si>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</si>
  <si>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</si>
  <si>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</si>
  <si>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</si>
  <si>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</si>
  <si>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</si>
  <si>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</si>
  <si>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</si>
  <si>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</si>
  <si>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</si>
  <si>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</si>
  <si>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</si>
  <si>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</si>
  <si>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</si>
  <si>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</si>
  <si>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</si>
  <si>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</si>
  <si>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</si>
  <si>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</si>
  <si>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</si>
  <si>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</si>
  <si>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</si>
  <si>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</si>
  <si>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</si>
  <si>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</si>
  <si>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</si>
  <si>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</si>
  <si>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</si>
  <si>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</si>
  <si>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</si>
  <si>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</si>
  <si>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</si>
  <si>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</si>
  <si>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</si>
  <si>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</si>
  <si>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</si>
  <si>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</si>
  <si>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</si>
  <si>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</si>
  <si>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</si>
  <si>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</si>
  <si>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</si>
  <si>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</si>
  <si>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</si>
  <si>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</si>
  <si>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</si>
  <si>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</si>
  <si>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</si>
  <si>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</si>
  <si>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</si>
  <si>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</si>
  <si>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</si>
  <si>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</si>
  <si>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</si>
  <si>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</si>
  <si>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</si>
  <si>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</si>
  <si>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</si>
  <si>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</si>
  <si>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</si>
  <si>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</si>
  <si>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</si>
  <si>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</si>
  <si>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</si>
  <si>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</si>
  <si>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</si>
  <si>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</si>
  <si>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</si>
  <si>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</si>
  <si>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</si>
  <si>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</si>
  <si>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</si>
  <si>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</si>
  <si>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</t>
  </si>
  <si>
    <t>"=LEFT(A16,FIND("-",A16)-1)"</t>
  </si>
  <si>
    <t>"=MID(A1, FIND("-", A1, FIND("-", A1) + 1) + 1, FIND("-", A1, FIND("-", A1, FIND("-", A1) + 1) + 1) - FIND("-", A1, FIND("-", A1) + 1) - 1)"</t>
  </si>
  <si>
    <t>"=MID(A1, FIND("-", A1) + 1, FIND("-", A1, FIND("-", A1) + 1) - FIND("-", A1) - 1)"</t>
  </si>
  <si>
    <t>"=MID(A16, FIND("-", A16, FIND("-", A16, FIND("-", A16) + 1) + 1) + 1, FIND("-", A16, FIND("-", A16, FIND("-", A16, FIND("-", A16) + 1) + 1) + 1) - FIND("-", A16, FIND("-", A16, FIND("-", A16) + 1) + 1) - 1)"</t>
  </si>
  <si>
    <t>"=RIGHT(A16, LEN(A16) - FIND("-", A16, FIND("-", A16, FIND("-", A16, FIND("-", A16) + 1) + 1) + 1))"</t>
  </si>
  <si>
    <t>FIND("-", A1) - 1 finds the position of the first hyphen and subtracts 1 to get the length of the substring to extract. LEFT(A1, ...) then extracts that number of characters from the left.</t>
  </si>
  <si>
    <t>FIND("-", A1, FIND("-", A1) + 1) finds the position of the second hyphen. The difference ... - FIND("-", A1) - 1 calculates the length of the substring. MID(A1, ...) then extracts the substring starting from the position after the first hyphen.</t>
  </si>
  <si>
    <t>Similar to the col_3 formula, this one extracts the substring between the second and third hyphens</t>
  </si>
  <si>
    <t>Similar to the col_3 and col_4 formulas, this one extracts the substring between the third and fourth hyphens.</t>
  </si>
  <si>
    <t xml:space="preserve"> LEN(A1) - FIND("-", A1, FIND("-", A1, FIND("-", A1, FIND("-", A1) + 1) + 1) + 1) calculates the length of the substring from the position after the fourth hyphen to the end of the string. RIGHT(A1, ...) then extracts that number of characters from the right.</t>
  </si>
  <si>
    <t>"=SUMIFS(C12:C21, C12:C21, "&lt;&gt;#N/A") + COUNTIF(C12:C21, "#N/A") * 20"</t>
  </si>
  <si>
    <t>SUMIFS(B:B, B:B, "&lt;&gt;#N/A"): This part calculates the sum of sales excluding #N/A values using the SUMIFS function.
COUNTIF(B:B, "#N/A") * 20: This part counts the number of #N/A values in column B using the COUNTIF function and multiplies that count by 20, substituting each #N/A with the value 20.</t>
  </si>
  <si>
    <t>"=INDEX(Table_A!$A$1:$I$9, MATCH(A2, Table_B!$B$2:$B$10, 0), MATCH(B2, Table_B!$B$2:$B$10, 0))"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</si>
</sst>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3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2" xfId="0" applyFont="1" applyBorder="1"/>
    <xf numFmtId="0" fontId="3" fillId="0" borderId="13" xfId="0" applyFont="1" applyBorder="1"/>
    <xf numFmtId="0" fontId="7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54</v>
      </c>
      <c r="B11" s="37">
        <v>30</v>
      </c>
    </row>
    <row r="12" spans="1:3" x14ac:dyDescent="0.3">
      <c r="A12" s="35" t="s">
        <v>55</v>
      </c>
      <c r="B12" s="37">
        <v>10</v>
      </c>
    </row>
    <row r="13" spans="1:3" x14ac:dyDescent="0.3">
      <c r="A13" s="35" t="s">
        <v>84</v>
      </c>
      <c r="B13" s="37">
        <v>20</v>
      </c>
    </row>
    <row r="14" spans="1:3" x14ac:dyDescent="0.3">
      <c r="A14" s="35" t="s">
        <v>97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topLeftCell="L1" zoomScaleNormal="100" workbookViewId="0">
      <pane ySplit="1" topLeftCell="A2" activePane="bottomLeft" state="frozen"/>
      <selection pane="bottomLeft" activeCell="G40" sqref="G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64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46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G2:W40">
    <cfRule type="cellIs" dxfId="1" priority="3" operator="equal">
      <formula>-1</formula>
    </cfRule>
    <cfRule type="cellIs" priority="2" operator="equal">
      <formula>0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176</v>
      </c>
      <c r="B1" s="4" t="s">
        <v>47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34">
        <f>SUMIFS(H:H, H:H, "&gt;20")</f>
        <v>0</v>
      </c>
      <c r="E5" s="1">
        <v>10</v>
      </c>
    </row>
    <row r="6" spans="1:5" x14ac:dyDescent="0.3">
      <c r="A6" s="6">
        <v>4</v>
      </c>
      <c r="B6" s="2" t="s">
        <v>105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85" zoomScaleNormal="100" workbookViewId="0">
      <selection activeCell="C12" sqref="C12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54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63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4.4" x14ac:dyDescent="0.3">
      <c r="A6" s="7" t="s">
        <v>40</v>
      </c>
      <c r="B6" s="12" t="str">
        <f>IFERROR(INDEX(Dataset!$G$2:$G$40, MATCH($A2, Dataset!$A$2:$A$40, 0)), "")</f>
        <v/>
      </c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56</v>
      </c>
      <c r="B21" s="12"/>
      <c r="C21" s="12"/>
      <c r="D21" s="12"/>
      <c r="E21" s="12"/>
      <c r="F21" s="8"/>
    </row>
    <row r="22" spans="1:6" ht="14.4" x14ac:dyDescent="0.3">
      <c r="A22" s="7" t="s">
        <v>57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81</v>
      </c>
      <c r="B28" s="31"/>
      <c r="C28" s="31"/>
      <c r="D28" s="31"/>
      <c r="E28" s="31"/>
      <c r="F28" s="31"/>
    </row>
    <row r="29" spans="1:6" ht="14.4" x14ac:dyDescent="0.3">
      <c r="A29" s="19" t="s">
        <v>82</v>
      </c>
      <c r="B29" s="31"/>
      <c r="C29" s="31"/>
      <c r="D29" s="31"/>
      <c r="E29" s="31"/>
      <c r="F29" s="31"/>
    </row>
    <row r="30" spans="1:6" ht="14.4" x14ac:dyDescent="0.3">
      <c r="A30" s="19" t="s">
        <v>83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22" sqref="C22"/>
    </sheetView>
  </sheetViews>
  <sheetFormatPr defaultColWidth="11" defaultRowHeight="14.4" x14ac:dyDescent="0.3"/>
  <cols>
    <col min="1" max="1" width="39.77734375" style="1" bestFit="1" customWidth="1"/>
    <col min="2" max="6" width="30.77734375" style="1" customWidth="1"/>
    <col min="7" max="16384" width="11" style="1"/>
  </cols>
  <sheetData>
    <row r="1" spans="1:10" s="41" customFormat="1" ht="21" x14ac:dyDescent="0.4">
      <c r="A1" s="42" t="s">
        <v>55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20" customHeight="1" x14ac:dyDescent="0.3">
      <c r="A5" s="48" t="s">
        <v>52</v>
      </c>
      <c r="B5" s="49" t="s">
        <v>177</v>
      </c>
      <c r="C5" s="50" t="s">
        <v>179</v>
      </c>
      <c r="D5" s="50" t="s">
        <v>178</v>
      </c>
      <c r="E5" s="50" t="s">
        <v>180</v>
      </c>
      <c r="F5" s="50" t="s">
        <v>181</v>
      </c>
    </row>
    <row r="6" spans="1:10" ht="160.05000000000001" customHeight="1" x14ac:dyDescent="0.3">
      <c r="A6" s="48" t="s">
        <v>152</v>
      </c>
      <c r="B6" s="49" t="s">
        <v>182</v>
      </c>
      <c r="C6" s="50" t="s">
        <v>183</v>
      </c>
      <c r="D6" s="50" t="s">
        <v>184</v>
      </c>
      <c r="E6" s="50" t="s">
        <v>185</v>
      </c>
      <c r="F6" s="50" t="s">
        <v>186</v>
      </c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101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102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10" x14ac:dyDescent="0.3">
      <c r="A16" s="7" t="s">
        <v>120</v>
      </c>
      <c r="B16" s="51" t="str">
        <f>LEFT(A16,FIND("-",A16)-1)</f>
        <v>20000</v>
      </c>
      <c r="C16" s="52" t="str">
        <f>MID(A16, FIND("-", A16) + 1, FIND("-", A16, FIND("-", A16) + 1) - FIND("-", A16) - 1)</f>
        <v>Monday</v>
      </c>
      <c r="D16" s="51" t="str">
        <f>MID(A16, FIND("-", A16, FIND("-", A16) + 1) + 1, FIND("-", A16, FIND("-", A16, FIND("-", A16) + 1) + 1) - FIND("-", A16, FIND("-", A16) + 1) - 1)</f>
        <v>0</v>
      </c>
      <c r="E16" s="52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51" t="str">
        <f>RIGHT(A16, LEN(A16) - FIND("-", A16, FIND("-", A16, FIND("-", A16, FIND("-", A16) + 1) + 1) + 1))</f>
        <v>24</v>
      </c>
    </row>
    <row r="17" spans="1:6" x14ac:dyDescent="0.3">
      <c r="A17" s="7" t="s">
        <v>121</v>
      </c>
      <c r="B17" s="12" t="str">
        <f t="shared" ref="B17:B54" si="0">LEFT(A17,FIND("-",A17)-1)</f>
        <v>20002</v>
      </c>
      <c r="C17" s="1" t="str">
        <f t="shared" ref="C17:C54" si="1">MID(A17, FIND("-", A17) + 1, FIND("-", A17, FIND("-", A17) + 1) - FIND("-", A17) - 1)</f>
        <v>Monday</v>
      </c>
      <c r="D17" s="12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2" t="str">
        <f t="shared" ref="F17:F54" si="4">RIGHT(A17, LEN(A17) - FIND("-", A17, FIND("-", A17, FIND("-", A17, FIND("-", A17) + 1) + 1) + 1))</f>
        <v>24</v>
      </c>
    </row>
    <row r="18" spans="1:6" x14ac:dyDescent="0.3">
      <c r="A18" s="7" t="s">
        <v>122</v>
      </c>
      <c r="B18" s="12" t="str">
        <f t="shared" si="0"/>
        <v>20004</v>
      </c>
      <c r="C18" s="1" t="str">
        <f t="shared" si="1"/>
        <v>Monday</v>
      </c>
      <c r="D18" s="12" t="str">
        <f t="shared" si="2"/>
        <v>0</v>
      </c>
      <c r="E18" s="1" t="str">
        <f t="shared" si="3"/>
        <v>Sunday</v>
      </c>
      <c r="F18" s="12" t="str">
        <f t="shared" si="4"/>
        <v>24</v>
      </c>
    </row>
    <row r="19" spans="1:6" x14ac:dyDescent="0.3">
      <c r="A19" s="7" t="s">
        <v>123</v>
      </c>
      <c r="B19" s="12" t="str">
        <f t="shared" si="0"/>
        <v>20006</v>
      </c>
      <c r="C19" s="1" t="str">
        <f t="shared" si="1"/>
        <v>Monday</v>
      </c>
      <c r="D19" s="12" t="str">
        <f t="shared" si="2"/>
        <v>0</v>
      </c>
      <c r="E19" s="1" t="str">
        <f t="shared" si="3"/>
        <v>Sunday</v>
      </c>
      <c r="F19" s="12" t="str">
        <f t="shared" si="4"/>
        <v>24</v>
      </c>
    </row>
    <row r="20" spans="1:6" x14ac:dyDescent="0.3">
      <c r="A20" s="7" t="s">
        <v>124</v>
      </c>
      <c r="B20" s="12" t="str">
        <f t="shared" si="0"/>
        <v>20008</v>
      </c>
      <c r="C20" s="1" t="str">
        <f t="shared" si="1"/>
        <v>Monday</v>
      </c>
      <c r="D20" s="12" t="str">
        <f t="shared" si="2"/>
        <v>0</v>
      </c>
      <c r="E20" s="1" t="str">
        <f t="shared" si="3"/>
        <v>Sunday</v>
      </c>
      <c r="F20" s="12" t="str">
        <f t="shared" si="4"/>
        <v>24</v>
      </c>
    </row>
    <row r="21" spans="1:6" x14ac:dyDescent="0.3">
      <c r="A21" s="7" t="s">
        <v>125</v>
      </c>
      <c r="B21" s="12" t="str">
        <f t="shared" si="0"/>
        <v>20010</v>
      </c>
      <c r="C21" s="1" t="str">
        <f t="shared" si="1"/>
        <v>Monday</v>
      </c>
      <c r="D21" s="12" t="str">
        <f t="shared" si="2"/>
        <v>0</v>
      </c>
      <c r="E21" s="1" t="str">
        <f t="shared" si="3"/>
        <v>Sunday</v>
      </c>
      <c r="F21" s="12" t="str">
        <f t="shared" si="4"/>
        <v>24</v>
      </c>
    </row>
    <row r="22" spans="1:6" x14ac:dyDescent="0.3">
      <c r="A22" s="7" t="s">
        <v>126</v>
      </c>
      <c r="B22" s="12" t="str">
        <f t="shared" si="0"/>
        <v>20012</v>
      </c>
      <c r="C22" s="1" t="str">
        <f t="shared" si="1"/>
        <v>Monday</v>
      </c>
      <c r="D22" s="12" t="str">
        <f t="shared" si="2"/>
        <v>0</v>
      </c>
      <c r="E22" s="1" t="str">
        <f t="shared" si="3"/>
        <v>Sunday</v>
      </c>
      <c r="F22" s="12" t="str">
        <f t="shared" si="4"/>
        <v>24</v>
      </c>
    </row>
    <row r="23" spans="1:6" x14ac:dyDescent="0.3">
      <c r="A23" s="7" t="s">
        <v>127</v>
      </c>
      <c r="B23" s="12" t="str">
        <f t="shared" si="0"/>
        <v>20014</v>
      </c>
      <c r="C23" s="1" t="str">
        <f t="shared" si="1"/>
        <v>Monday</v>
      </c>
      <c r="D23" s="12" t="str">
        <f t="shared" si="2"/>
        <v>0</v>
      </c>
      <c r="E23" s="1" t="str">
        <f t="shared" si="3"/>
        <v>Sunday</v>
      </c>
      <c r="F23" s="12" t="str">
        <f t="shared" si="4"/>
        <v>24</v>
      </c>
    </row>
    <row r="24" spans="1:6" x14ac:dyDescent="0.3">
      <c r="A24" s="7" t="s">
        <v>128</v>
      </c>
      <c r="B24" s="12" t="str">
        <f t="shared" si="0"/>
        <v>20016</v>
      </c>
      <c r="C24" s="1" t="str">
        <f t="shared" si="1"/>
        <v>Monday</v>
      </c>
      <c r="D24" s="12" t="str">
        <f t="shared" si="2"/>
        <v>0</v>
      </c>
      <c r="E24" s="1" t="str">
        <f t="shared" si="3"/>
        <v>Sunday</v>
      </c>
      <c r="F24" s="12" t="str">
        <f t="shared" si="4"/>
        <v>24</v>
      </c>
    </row>
    <row r="25" spans="1:6" x14ac:dyDescent="0.3">
      <c r="A25" s="7" t="s">
        <v>129</v>
      </c>
      <c r="B25" s="12" t="str">
        <f t="shared" si="0"/>
        <v>20018</v>
      </c>
      <c r="C25" s="1" t="str">
        <f t="shared" si="1"/>
        <v>Monday</v>
      </c>
      <c r="D25" s="12" t="str">
        <f t="shared" si="2"/>
        <v>0</v>
      </c>
      <c r="E25" s="1" t="str">
        <f t="shared" si="3"/>
        <v>Sunday</v>
      </c>
      <c r="F25" s="12" t="str">
        <f t="shared" si="4"/>
        <v>24</v>
      </c>
    </row>
    <row r="26" spans="1:6" x14ac:dyDescent="0.3">
      <c r="A26" s="7" t="s">
        <v>130</v>
      </c>
      <c r="B26" s="12" t="str">
        <f t="shared" si="0"/>
        <v>20020</v>
      </c>
      <c r="C26" s="1" t="str">
        <f t="shared" si="1"/>
        <v>Monday</v>
      </c>
      <c r="D26" s="12" t="str">
        <f t="shared" si="2"/>
        <v>0</v>
      </c>
      <c r="E26" s="1" t="str">
        <f t="shared" si="3"/>
        <v>Sunday</v>
      </c>
      <c r="F26" s="12" t="str">
        <f t="shared" si="4"/>
        <v>24</v>
      </c>
    </row>
    <row r="27" spans="1:6" x14ac:dyDescent="0.3">
      <c r="A27" s="7" t="s">
        <v>131</v>
      </c>
      <c r="B27" s="12" t="str">
        <f t="shared" si="0"/>
        <v>20022</v>
      </c>
      <c r="C27" s="1" t="str">
        <f t="shared" si="1"/>
        <v>Monday</v>
      </c>
      <c r="D27" s="12" t="str">
        <f t="shared" si="2"/>
        <v>0</v>
      </c>
      <c r="E27" s="1" t="str">
        <f t="shared" si="3"/>
        <v>Sunday</v>
      </c>
      <c r="F27" s="12" t="str">
        <f t="shared" si="4"/>
        <v>24</v>
      </c>
    </row>
    <row r="28" spans="1:6" x14ac:dyDescent="0.3">
      <c r="A28" s="7" t="s">
        <v>132</v>
      </c>
      <c r="B28" s="12" t="str">
        <f t="shared" si="0"/>
        <v>20024</v>
      </c>
      <c r="C28" s="1" t="str">
        <f t="shared" si="1"/>
        <v>Monday</v>
      </c>
      <c r="D28" s="12" t="str">
        <f t="shared" si="2"/>
        <v>0</v>
      </c>
      <c r="E28" s="1" t="str">
        <f t="shared" si="3"/>
        <v>Sunday</v>
      </c>
      <c r="F28" s="12" t="str">
        <f t="shared" si="4"/>
        <v>24</v>
      </c>
    </row>
    <row r="29" spans="1:6" x14ac:dyDescent="0.3">
      <c r="A29" s="7" t="s">
        <v>133</v>
      </c>
      <c r="B29" s="12" t="str">
        <f t="shared" si="0"/>
        <v>20026</v>
      </c>
      <c r="C29" s="1" t="str">
        <f t="shared" si="1"/>
        <v>Monday</v>
      </c>
      <c r="D29" s="12" t="str">
        <f t="shared" si="2"/>
        <v>0</v>
      </c>
      <c r="E29" s="1" t="str">
        <f t="shared" si="3"/>
        <v>Sunday</v>
      </c>
      <c r="F29" s="12" t="str">
        <f t="shared" si="4"/>
        <v>24</v>
      </c>
    </row>
    <row r="30" spans="1:6" x14ac:dyDescent="0.3">
      <c r="A30" s="7" t="s">
        <v>134</v>
      </c>
      <c r="B30" s="12" t="str">
        <f t="shared" si="0"/>
        <v>20028</v>
      </c>
      <c r="C30" s="1" t="str">
        <f t="shared" si="1"/>
        <v>Monday</v>
      </c>
      <c r="D30" s="12" t="str">
        <f t="shared" si="2"/>
        <v>0</v>
      </c>
      <c r="E30" s="1" t="str">
        <f t="shared" si="3"/>
        <v>Sunday</v>
      </c>
      <c r="F30" s="12" t="str">
        <f t="shared" si="4"/>
        <v>24</v>
      </c>
    </row>
    <row r="31" spans="1:6" x14ac:dyDescent="0.3">
      <c r="A31" s="7" t="s">
        <v>135</v>
      </c>
      <c r="B31" s="12" t="str">
        <f t="shared" si="0"/>
        <v>20030</v>
      </c>
      <c r="C31" s="1" t="str">
        <f t="shared" si="1"/>
        <v>Monday</v>
      </c>
      <c r="D31" s="12" t="str">
        <f t="shared" si="2"/>
        <v>0</v>
      </c>
      <c r="E31" s="1" t="str">
        <f t="shared" si="3"/>
        <v>Sunday</v>
      </c>
      <c r="F31" s="12" t="str">
        <f t="shared" si="4"/>
        <v>24</v>
      </c>
    </row>
    <row r="32" spans="1:6" x14ac:dyDescent="0.3">
      <c r="A32" s="7" t="s">
        <v>136</v>
      </c>
      <c r="B32" s="12" t="str">
        <f t="shared" si="0"/>
        <v>20032</v>
      </c>
      <c r="C32" s="1" t="str">
        <f t="shared" si="1"/>
        <v>Monday</v>
      </c>
      <c r="D32" s="12" t="str">
        <f t="shared" si="2"/>
        <v>0</v>
      </c>
      <c r="E32" s="1" t="str">
        <f t="shared" si="3"/>
        <v>Sunday</v>
      </c>
      <c r="F32" s="12" t="str">
        <f t="shared" si="4"/>
        <v>24</v>
      </c>
    </row>
    <row r="33" spans="1:6" x14ac:dyDescent="0.3">
      <c r="A33" s="7" t="s">
        <v>137</v>
      </c>
      <c r="B33" s="12" t="str">
        <f t="shared" si="0"/>
        <v>20034</v>
      </c>
      <c r="C33" s="1" t="str">
        <f t="shared" si="1"/>
        <v>Monday</v>
      </c>
      <c r="D33" s="12" t="str">
        <f t="shared" si="2"/>
        <v>0</v>
      </c>
      <c r="E33" s="1" t="str">
        <f t="shared" si="3"/>
        <v>Sunday</v>
      </c>
      <c r="F33" s="12" t="str">
        <f t="shared" si="4"/>
        <v>24</v>
      </c>
    </row>
    <row r="34" spans="1:6" x14ac:dyDescent="0.3">
      <c r="A34" s="7" t="s">
        <v>138</v>
      </c>
      <c r="B34" s="12" t="str">
        <f t="shared" si="0"/>
        <v>20036</v>
      </c>
      <c r="C34" s="1" t="str">
        <f t="shared" si="1"/>
        <v>Monday</v>
      </c>
      <c r="D34" s="12" t="str">
        <f t="shared" si="2"/>
        <v>0</v>
      </c>
      <c r="E34" s="1" t="str">
        <f t="shared" si="3"/>
        <v>Sunday</v>
      </c>
      <c r="F34" s="12" t="str">
        <f t="shared" si="4"/>
        <v>24</v>
      </c>
    </row>
    <row r="35" spans="1:6" x14ac:dyDescent="0.3">
      <c r="A35" s="7" t="s">
        <v>139</v>
      </c>
      <c r="B35" s="12" t="str">
        <f t="shared" si="0"/>
        <v>20038</v>
      </c>
      <c r="C35" s="1" t="str">
        <f t="shared" si="1"/>
        <v>Monday</v>
      </c>
      <c r="D35" s="12" t="str">
        <f t="shared" si="2"/>
        <v>0</v>
      </c>
      <c r="E35" s="1" t="str">
        <f t="shared" si="3"/>
        <v>Sunday</v>
      </c>
      <c r="F35" s="12" t="str">
        <f t="shared" si="4"/>
        <v>24</v>
      </c>
    </row>
    <row r="36" spans="1:6" x14ac:dyDescent="0.3">
      <c r="A36" s="7" t="s">
        <v>140</v>
      </c>
      <c r="B36" s="12" t="str">
        <f t="shared" si="0"/>
        <v>20040</v>
      </c>
      <c r="C36" s="1" t="str">
        <f t="shared" si="1"/>
        <v>Monday</v>
      </c>
      <c r="D36" s="12" t="str">
        <f t="shared" si="2"/>
        <v>0</v>
      </c>
      <c r="E36" s="1" t="str">
        <f t="shared" si="3"/>
        <v>Sunday</v>
      </c>
      <c r="F36" s="12" t="str">
        <f t="shared" si="4"/>
        <v>24</v>
      </c>
    </row>
    <row r="37" spans="1:6" x14ac:dyDescent="0.3">
      <c r="A37" s="7" t="s">
        <v>141</v>
      </c>
      <c r="B37" s="12" t="str">
        <f t="shared" si="0"/>
        <v>20042</v>
      </c>
      <c r="C37" s="1" t="str">
        <f t="shared" si="1"/>
        <v>Monday</v>
      </c>
      <c r="D37" s="12" t="str">
        <f t="shared" si="2"/>
        <v>0</v>
      </c>
      <c r="E37" s="1" t="str">
        <f t="shared" si="3"/>
        <v>Sunday</v>
      </c>
      <c r="F37" s="12" t="str">
        <f t="shared" si="4"/>
        <v>24</v>
      </c>
    </row>
    <row r="38" spans="1:6" x14ac:dyDescent="0.3">
      <c r="A38" s="7" t="s">
        <v>142</v>
      </c>
      <c r="B38" s="12" t="str">
        <f t="shared" si="0"/>
        <v>20044</v>
      </c>
      <c r="C38" s="1" t="str">
        <f t="shared" si="1"/>
        <v>Monday</v>
      </c>
      <c r="D38" s="12" t="str">
        <f t="shared" si="2"/>
        <v>0</v>
      </c>
      <c r="E38" s="1" t="str">
        <f t="shared" si="3"/>
        <v>Sunday</v>
      </c>
      <c r="F38" s="12" t="str">
        <f t="shared" si="4"/>
        <v>24</v>
      </c>
    </row>
    <row r="39" spans="1:6" x14ac:dyDescent="0.3">
      <c r="A39" s="7" t="s">
        <v>143</v>
      </c>
      <c r="B39" s="12" t="str">
        <f t="shared" si="0"/>
        <v>20046</v>
      </c>
      <c r="C39" s="1" t="str">
        <f t="shared" si="1"/>
        <v>Monday</v>
      </c>
      <c r="D39" s="12" t="str">
        <f t="shared" si="2"/>
        <v>0</v>
      </c>
      <c r="E39" s="1" t="str">
        <f t="shared" si="3"/>
        <v>Sunday</v>
      </c>
      <c r="F39" s="12" t="str">
        <f t="shared" si="4"/>
        <v>24</v>
      </c>
    </row>
    <row r="40" spans="1:6" x14ac:dyDescent="0.3">
      <c r="A40" s="7" t="s">
        <v>144</v>
      </c>
      <c r="B40" s="12" t="str">
        <f t="shared" si="0"/>
        <v>20048</v>
      </c>
      <c r="C40" s="1" t="str">
        <f t="shared" si="1"/>
        <v>Monday</v>
      </c>
      <c r="D40" s="12" t="str">
        <f t="shared" si="2"/>
        <v>0</v>
      </c>
      <c r="E40" s="1" t="str">
        <f t="shared" si="3"/>
        <v>Sunday</v>
      </c>
      <c r="F40" s="12" t="str">
        <f t="shared" si="4"/>
        <v>24</v>
      </c>
    </row>
    <row r="41" spans="1:6" x14ac:dyDescent="0.3">
      <c r="A41" s="7" t="s">
        <v>145</v>
      </c>
      <c r="B41" s="12" t="str">
        <f t="shared" si="0"/>
        <v>20050</v>
      </c>
      <c r="C41" s="1" t="str">
        <f t="shared" si="1"/>
        <v>Monday</v>
      </c>
      <c r="D41" s="12" t="str">
        <f t="shared" si="2"/>
        <v>0</v>
      </c>
      <c r="E41" s="1" t="str">
        <f t="shared" si="3"/>
        <v>Sunday</v>
      </c>
      <c r="F41" s="12" t="str">
        <f t="shared" si="4"/>
        <v>24</v>
      </c>
    </row>
    <row r="42" spans="1:6" x14ac:dyDescent="0.3">
      <c r="A42" s="7" t="s">
        <v>146</v>
      </c>
      <c r="B42" s="12" t="str">
        <f t="shared" si="0"/>
        <v>20052</v>
      </c>
      <c r="C42" s="1" t="str">
        <f t="shared" si="1"/>
        <v>Monday</v>
      </c>
      <c r="D42" s="12" t="str">
        <f t="shared" si="2"/>
        <v>0</v>
      </c>
      <c r="E42" s="1" t="str">
        <f t="shared" si="3"/>
        <v>Sunday</v>
      </c>
      <c r="F42" s="12" t="str">
        <f t="shared" si="4"/>
        <v>24</v>
      </c>
    </row>
    <row r="43" spans="1:6" x14ac:dyDescent="0.3">
      <c r="A43" s="7" t="s">
        <v>147</v>
      </c>
      <c r="B43" s="12" t="str">
        <f t="shared" si="0"/>
        <v>20054</v>
      </c>
      <c r="C43" s="1" t="str">
        <f t="shared" si="1"/>
        <v>Monday</v>
      </c>
      <c r="D43" s="12" t="str">
        <f t="shared" si="2"/>
        <v>0</v>
      </c>
      <c r="E43" s="1" t="str">
        <f t="shared" si="3"/>
        <v>Sunday</v>
      </c>
      <c r="F43" s="12" t="str">
        <f t="shared" si="4"/>
        <v>24</v>
      </c>
    </row>
    <row r="44" spans="1:6" x14ac:dyDescent="0.3">
      <c r="A44" s="7" t="s">
        <v>148</v>
      </c>
      <c r="B44" s="12" t="str">
        <f t="shared" si="0"/>
        <v>20058</v>
      </c>
      <c r="C44" s="1" t="str">
        <f t="shared" si="1"/>
        <v>Monday</v>
      </c>
      <c r="D44" s="12" t="str">
        <f t="shared" si="2"/>
        <v>0</v>
      </c>
      <c r="E44" s="1" t="str">
        <f t="shared" si="3"/>
        <v>Sunday</v>
      </c>
      <c r="F44" s="12" t="str">
        <f t="shared" si="4"/>
        <v>24</v>
      </c>
    </row>
    <row r="45" spans="1:6" x14ac:dyDescent="0.3">
      <c r="A45" s="7" t="s">
        <v>149</v>
      </c>
      <c r="B45" s="12" t="str">
        <f t="shared" si="0"/>
        <v>20060</v>
      </c>
      <c r="C45" s="1" t="str">
        <f t="shared" si="1"/>
        <v>Monday</v>
      </c>
      <c r="D45" s="12" t="str">
        <f t="shared" si="2"/>
        <v>0</v>
      </c>
      <c r="E45" s="1" t="str">
        <f t="shared" si="3"/>
        <v>Sunday</v>
      </c>
      <c r="F45" s="12" t="str">
        <f t="shared" si="4"/>
        <v>24</v>
      </c>
    </row>
    <row r="46" spans="1:6" x14ac:dyDescent="0.3">
      <c r="A46" s="7" t="s">
        <v>111</v>
      </c>
      <c r="B46" s="12" t="str">
        <f t="shared" si="0"/>
        <v>21000</v>
      </c>
      <c r="C46" s="1" t="str">
        <f t="shared" si="1"/>
        <v>Monday</v>
      </c>
      <c r="D46" s="12" t="str">
        <f t="shared" si="2"/>
        <v>0</v>
      </c>
      <c r="E46" s="1" t="str">
        <f t="shared" si="3"/>
        <v>Sunday</v>
      </c>
      <c r="F46" s="12" t="str">
        <f t="shared" si="4"/>
        <v>24</v>
      </c>
    </row>
    <row r="47" spans="1:6" x14ac:dyDescent="0.3">
      <c r="A47" s="7" t="s">
        <v>112</v>
      </c>
      <c r="B47" s="12" t="str">
        <f t="shared" si="0"/>
        <v>21002</v>
      </c>
      <c r="C47" s="1" t="str">
        <f t="shared" si="1"/>
        <v>Monday</v>
      </c>
      <c r="D47" s="12" t="str">
        <f t="shared" si="2"/>
        <v>0</v>
      </c>
      <c r="E47" s="1" t="str">
        <f t="shared" si="3"/>
        <v>Sunday</v>
      </c>
      <c r="F47" s="12" t="str">
        <f t="shared" si="4"/>
        <v>24</v>
      </c>
    </row>
    <row r="48" spans="1:6" x14ac:dyDescent="0.3">
      <c r="A48" s="7" t="s">
        <v>113</v>
      </c>
      <c r="B48" s="12" t="str">
        <f t="shared" si="0"/>
        <v>21004</v>
      </c>
      <c r="C48" s="1" t="str">
        <f t="shared" si="1"/>
        <v>Monday</v>
      </c>
      <c r="D48" s="12" t="str">
        <f t="shared" si="2"/>
        <v>0</v>
      </c>
      <c r="E48" s="1" t="str">
        <f t="shared" si="3"/>
        <v>Sunday</v>
      </c>
      <c r="F48" s="12" t="str">
        <f t="shared" si="4"/>
        <v>24</v>
      </c>
    </row>
    <row r="49" spans="1:6" x14ac:dyDescent="0.3">
      <c r="A49" s="7" t="s">
        <v>114</v>
      </c>
      <c r="B49" s="12" t="str">
        <f t="shared" si="0"/>
        <v>21006</v>
      </c>
      <c r="C49" s="1" t="str">
        <f t="shared" si="1"/>
        <v>Monday</v>
      </c>
      <c r="D49" s="12" t="str">
        <f t="shared" si="2"/>
        <v>0</v>
      </c>
      <c r="E49" s="1" t="str">
        <f t="shared" si="3"/>
        <v>Sunday</v>
      </c>
      <c r="F49" s="12" t="str">
        <f t="shared" si="4"/>
        <v>24</v>
      </c>
    </row>
    <row r="50" spans="1:6" x14ac:dyDescent="0.3">
      <c r="A50" s="7" t="s">
        <v>115</v>
      </c>
      <c r="B50" s="12" t="str">
        <f t="shared" si="0"/>
        <v>21008</v>
      </c>
      <c r="C50" s="1" t="str">
        <f t="shared" si="1"/>
        <v>Monday</v>
      </c>
      <c r="D50" s="12" t="str">
        <f t="shared" si="2"/>
        <v>0</v>
      </c>
      <c r="E50" s="1" t="str">
        <f t="shared" si="3"/>
        <v>Sunday</v>
      </c>
      <c r="F50" s="12" t="str">
        <f t="shared" si="4"/>
        <v>24</v>
      </c>
    </row>
    <row r="51" spans="1:6" x14ac:dyDescent="0.3">
      <c r="A51" s="7" t="s">
        <v>116</v>
      </c>
      <c r="B51" s="12" t="str">
        <f t="shared" si="0"/>
        <v>21010</v>
      </c>
      <c r="C51" s="1" t="str">
        <f t="shared" si="1"/>
        <v>Monday</v>
      </c>
      <c r="D51" s="12" t="str">
        <f t="shared" si="2"/>
        <v>0</v>
      </c>
      <c r="E51" s="1" t="str">
        <f t="shared" si="3"/>
        <v>Sunday</v>
      </c>
      <c r="F51" s="12" t="str">
        <f t="shared" si="4"/>
        <v>24</v>
      </c>
    </row>
    <row r="52" spans="1:6" x14ac:dyDescent="0.3">
      <c r="A52" s="7" t="s">
        <v>117</v>
      </c>
      <c r="B52" s="12" t="str">
        <f t="shared" si="0"/>
        <v>21012</v>
      </c>
      <c r="C52" s="1" t="str">
        <f t="shared" si="1"/>
        <v>Monday</v>
      </c>
      <c r="D52" s="12" t="str">
        <f t="shared" si="2"/>
        <v>0</v>
      </c>
      <c r="E52" s="1" t="str">
        <f t="shared" si="3"/>
        <v>Sunday</v>
      </c>
      <c r="F52" s="12" t="str">
        <f t="shared" si="4"/>
        <v>24</v>
      </c>
    </row>
    <row r="53" spans="1:6" x14ac:dyDescent="0.3">
      <c r="A53" s="7" t="s">
        <v>118</v>
      </c>
      <c r="B53" s="12" t="str">
        <f t="shared" si="0"/>
        <v>21014</v>
      </c>
      <c r="C53" s="1" t="str">
        <f t="shared" si="1"/>
        <v>Monday</v>
      </c>
      <c r="D53" s="12" t="str">
        <f t="shared" si="2"/>
        <v>0</v>
      </c>
      <c r="E53" s="1" t="str">
        <f t="shared" si="3"/>
        <v>Sunday</v>
      </c>
      <c r="F53" s="12" t="str">
        <f t="shared" si="4"/>
        <v>24</v>
      </c>
    </row>
    <row r="54" spans="1:6" x14ac:dyDescent="0.3">
      <c r="A54" s="9" t="s">
        <v>119</v>
      </c>
      <c r="B54" s="13" t="str">
        <f t="shared" si="0"/>
        <v>21016</v>
      </c>
      <c r="C54" s="10" t="str">
        <f t="shared" si="1"/>
        <v>Monday</v>
      </c>
      <c r="D54" s="13" t="str">
        <f t="shared" si="2"/>
        <v>0</v>
      </c>
      <c r="E54" s="10" t="str">
        <f t="shared" si="3"/>
        <v>Sunday</v>
      </c>
      <c r="F54" s="13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H22"/>
  <sheetViews>
    <sheetView topLeftCell="A7" zoomScaleNormal="100" workbookViewId="0">
      <selection activeCell="B7" sqref="B7:H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8" ht="21" x14ac:dyDescent="0.4">
      <c r="A1" s="42" t="s">
        <v>84</v>
      </c>
      <c r="B1" s="41" t="s">
        <v>166</v>
      </c>
    </row>
    <row r="2" spans="1:8" ht="18" x14ac:dyDescent="0.35">
      <c r="B2" s="40" t="s">
        <v>165</v>
      </c>
    </row>
    <row r="5" spans="1:8" ht="14.4" x14ac:dyDescent="0.3">
      <c r="B5" s="1" t="s">
        <v>150</v>
      </c>
    </row>
    <row r="6" spans="1:8" ht="30" customHeight="1" x14ac:dyDescent="0.3">
      <c r="A6" s="53" t="s">
        <v>52</v>
      </c>
      <c r="B6" s="55" t="s">
        <v>187</v>
      </c>
      <c r="C6" s="55"/>
      <c r="D6" s="55"/>
      <c r="E6" s="55"/>
      <c r="F6" s="55"/>
      <c r="G6" s="55"/>
      <c r="H6" s="55"/>
    </row>
    <row r="7" spans="1:8" ht="69.599999999999994" customHeight="1" x14ac:dyDescent="0.3">
      <c r="A7" s="53" t="s">
        <v>152</v>
      </c>
      <c r="B7" s="55" t="s">
        <v>188</v>
      </c>
      <c r="C7" s="55"/>
      <c r="D7" s="55"/>
      <c r="E7" s="55"/>
      <c r="F7" s="55"/>
      <c r="G7" s="55"/>
      <c r="H7" s="55"/>
    </row>
    <row r="10" spans="1:8" ht="23.4" x14ac:dyDescent="0.45">
      <c r="A10" s="18" t="s">
        <v>161</v>
      </c>
    </row>
    <row r="11" spans="1:8" ht="14.4" x14ac:dyDescent="0.3">
      <c r="A11" s="32" t="s">
        <v>85</v>
      </c>
      <c r="B11" s="17" t="s">
        <v>86</v>
      </c>
      <c r="C11" s="17" t="s">
        <v>87</v>
      </c>
    </row>
    <row r="12" spans="1:8" ht="14.4" x14ac:dyDescent="0.3">
      <c r="A12" s="32">
        <v>44927</v>
      </c>
      <c r="B12" s="17" t="s">
        <v>58</v>
      </c>
      <c r="C12" s="17">
        <v>200</v>
      </c>
    </row>
    <row r="13" spans="1:8" ht="14.4" x14ac:dyDescent="0.3">
      <c r="A13" s="32">
        <v>44928</v>
      </c>
      <c r="B13" s="17" t="s">
        <v>59</v>
      </c>
      <c r="C13" s="17" t="e">
        <v>#N/A</v>
      </c>
    </row>
    <row r="14" spans="1:8" ht="14.4" x14ac:dyDescent="0.3">
      <c r="A14" s="32">
        <v>44929</v>
      </c>
      <c r="B14" s="17" t="s">
        <v>60</v>
      </c>
      <c r="C14" s="17">
        <v>50</v>
      </c>
    </row>
    <row r="15" spans="1:8" ht="14.4" x14ac:dyDescent="0.3">
      <c r="A15" s="32">
        <v>44930</v>
      </c>
      <c r="B15" s="17" t="s">
        <v>61</v>
      </c>
      <c r="C15" s="17" t="e">
        <v>#N/A</v>
      </c>
    </row>
    <row r="16" spans="1:8" ht="14.4" x14ac:dyDescent="0.3">
      <c r="A16" s="32">
        <v>44931</v>
      </c>
      <c r="B16" s="17" t="s">
        <v>62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>
        <f>SUMIFS(C12:C21, C12:C21, "&lt;&gt;#N/A") + COUNTIF(C12:C21, "#N/A") * 20</f>
        <v>600</v>
      </c>
    </row>
  </sheetData>
  <mergeCells count="2">
    <mergeCell ref="B7:H7"/>
    <mergeCell ref="B6:H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5" sqref="B5:L5"/>
    </sheetView>
  </sheetViews>
  <sheetFormatPr defaultColWidth="11" defaultRowHeight="13.8" x14ac:dyDescent="0.3"/>
  <cols>
    <col min="1" max="1" width="38.109375" style="2" customWidth="1"/>
    <col min="2" max="16384" width="11" style="2"/>
  </cols>
  <sheetData>
    <row r="1" spans="1:14" ht="21" x14ac:dyDescent="0.4">
      <c r="A1" s="42" t="s">
        <v>97</v>
      </c>
      <c r="B1" s="41" t="s">
        <v>174</v>
      </c>
    </row>
    <row r="3" spans="1:14" ht="14.4" x14ac:dyDescent="0.3">
      <c r="B3" s="1" t="s">
        <v>150</v>
      </c>
    </row>
    <row r="4" spans="1:14" ht="35.4" customHeight="1" x14ac:dyDescent="0.3">
      <c r="A4" s="54" t="s">
        <v>52</v>
      </c>
      <c r="B4" s="56" t="s">
        <v>189</v>
      </c>
      <c r="C4" s="56"/>
      <c r="D4" s="56"/>
      <c r="E4" s="56"/>
      <c r="F4" s="56"/>
      <c r="G4" s="56"/>
      <c r="H4" s="56"/>
      <c r="I4" s="56"/>
      <c r="J4" s="56"/>
      <c r="K4" s="56"/>
      <c r="L4" s="56"/>
    </row>
    <row r="5" spans="1:14" ht="80.400000000000006" customHeight="1" x14ac:dyDescent="0.3">
      <c r="A5" s="54" t="s">
        <v>152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4" x14ac:dyDescent="0.3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4" x14ac:dyDescent="0.3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4" x14ac:dyDescent="0.3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4" x14ac:dyDescent="0.3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4" x14ac:dyDescent="0.3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4" x14ac:dyDescent="0.3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4" x14ac:dyDescent="0.3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4" x14ac:dyDescent="0.3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4" x14ac:dyDescent="0.3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4" x14ac:dyDescent="0.45">
      <c r="A21" s="18" t="s">
        <v>167</v>
      </c>
    </row>
    <row r="22" spans="1:14" ht="14.4" x14ac:dyDescent="0.3">
      <c r="A22" s="14" t="s">
        <v>99</v>
      </c>
      <c r="B22" s="17" t="s">
        <v>100</v>
      </c>
      <c r="C22" s="16" t="s">
        <v>101</v>
      </c>
    </row>
    <row r="23" spans="1:14" ht="14.4" x14ac:dyDescent="0.3">
      <c r="A23" s="7">
        <v>10100</v>
      </c>
      <c r="B23" s="12">
        <v>10102</v>
      </c>
      <c r="C23" s="44" t="e">
        <f>INDEX([1]Table_A!$A$1:$I$9, MATCH(A2, [2]Table_B!$B$2:$B$10, 0), MATCH(B2, [2]Table_B!$B$2:$B$10, 0))</f>
        <v>#N/A</v>
      </c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mergeCells count="2">
    <mergeCell ref="B4:L4"/>
    <mergeCell ref="B5:L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Sameer hiwale</cp:lastModifiedBy>
  <dcterms:created xsi:type="dcterms:W3CDTF">2015-02-10T17:33:11Z</dcterms:created>
  <dcterms:modified xsi:type="dcterms:W3CDTF">2023-12-09T10:43:44Z</dcterms:modified>
</cp:coreProperties>
</file>